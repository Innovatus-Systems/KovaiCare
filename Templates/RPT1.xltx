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0" windowWidth="18615" windowHeight="8805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 fullCalcOnLoad="1"/>
</workbook>
</file>

<file path=xl/calcChain.xml><?xml version="1.0" encoding="utf-8"?>
<calcChain xmlns="http://schemas.openxmlformats.org/spreadsheetml/2006/main">
  <c r="A2" i="1"/>
  <c r="B2"/>
  <c r="E2"/>
</calcChain>
</file>

<file path=xl/sharedStrings.xml><?xml version="1.0" encoding="utf-8"?>
<sst xmlns="http://schemas.openxmlformats.org/spreadsheetml/2006/main" count="28" uniqueCount="28">
  <si>
    <t>CovaiSoft</t>
  </si>
  <si>
    <t>R001</t>
  </si>
  <si>
    <t>Resident details</t>
  </si>
  <si>
    <t xml:space="preserve">* Resident details report </t>
  </si>
  <si>
    <t>userone</t>
  </si>
  <si>
    <t>No. of Records :</t>
  </si>
  <si>
    <t>VillaNo</t>
  </si>
  <si>
    <t>Status</t>
  </si>
  <si>
    <t>Owner/Tenant Name</t>
  </si>
  <si>
    <t>Gender</t>
  </si>
  <si>
    <t>Contact Address</t>
  </si>
  <si>
    <t>Contact Address1</t>
  </si>
  <si>
    <t>City</t>
  </si>
  <si>
    <t>Pin Code</t>
  </si>
  <si>
    <t>Country</t>
  </si>
  <si>
    <t>Contact No</t>
  </si>
  <si>
    <t>Mobile No</t>
  </si>
  <si>
    <t>Mail Id</t>
  </si>
  <si>
    <t>Alternate Mail Id</t>
  </si>
  <si>
    <t>Date of Birth</t>
  </si>
  <si>
    <t>BloodGroup</t>
  </si>
  <si>
    <t>SMS Alert? Yes/No</t>
  </si>
  <si>
    <t>EMAIL  Alert? Yes/No</t>
  </si>
  <si>
    <t>Occupants</t>
  </si>
  <si>
    <t>WhatsApp</t>
  </si>
  <si>
    <t>Facebook</t>
  </si>
  <si>
    <t>Skype</t>
  </si>
  <si>
    <t>Remarks</t>
  </si>
</sst>
</file>

<file path=xl/styles.xml><?xml version="1.0" encoding="utf-8"?>
<styleSheet xmlns="http://schemas.openxmlformats.org/spreadsheetml/2006/main">
  <numFmts count="4">
    <numFmt numFmtId="176" formatCode="d\-mmm"/>
    <numFmt numFmtId="177" formatCode="#,##0.000"/>
    <numFmt numFmtId="178" formatCode="d\-mmm\-yy"/>
    <numFmt numFmtId="179" formatCode="d\-mmm\-yy;@"/>
  </numFmts>
  <fonts count="4">
    <font>
      <sz val="11"/>
      <color indexed="8"/>
      <name val="Calibri"/>
    </font>
    <font>
      <sz val="10"/>
      <color indexed="60"/>
      <name val="宋体"/>
    </font>
    <font>
      <b/>
      <sz val="10"/>
      <color indexed="8"/>
      <name val="Calibri"/>
    </font>
    <font>
      <sz val="10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 applyAlignment="1"/>
    <xf numFmtId="0" fontId="2" fillId="0" borderId="1" xfId="0" applyFont="1" applyBorder="1" applyAlignment="1"/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/>
    <xf numFmtId="0" fontId="2" fillId="0" borderId="1" xfId="0" applyFont="1" applyBorder="1" applyAlignment="1">
      <alignment horizontal="left"/>
    </xf>
    <xf numFmtId="176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/>
    <xf numFmtId="177" fontId="3" fillId="0" borderId="1" xfId="0" applyNumberFormat="1" applyFont="1" applyBorder="1" applyAlignment="1">
      <alignment horizontal="right"/>
    </xf>
    <xf numFmtId="4" fontId="3" fillId="0" borderId="1" xfId="0" applyNumberFormat="1" applyFont="1" applyBorder="1" applyAlignment="1">
      <alignment horizontal="right"/>
    </xf>
    <xf numFmtId="176" fontId="2" fillId="4" borderId="1" xfId="0" applyNumberFormat="1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center"/>
    </xf>
    <xf numFmtId="178" fontId="2" fillId="4" borderId="1" xfId="0" applyNumberFormat="1" applyFont="1" applyFill="1" applyBorder="1" applyAlignment="1">
      <alignment horizontal="left"/>
    </xf>
    <xf numFmtId="18" fontId="2" fillId="4" borderId="1" xfId="0" applyNumberFormat="1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4" fontId="2" fillId="4" borderId="1" xfId="0" applyNumberFormat="1" applyFont="1" applyFill="1" applyBorder="1" applyAlignment="1">
      <alignment horizontal="right"/>
    </xf>
    <xf numFmtId="1" fontId="3" fillId="3" borderId="1" xfId="0" applyNumberFormat="1" applyFont="1" applyFill="1" applyBorder="1" applyAlignment="1">
      <alignment horizontal="center"/>
    </xf>
    <xf numFmtId="0" fontId="3" fillId="3" borderId="1" xfId="0" applyNumberFormat="1" applyFont="1" applyFill="1" applyBorder="1" applyAlignment="1">
      <alignment horizontal="left"/>
    </xf>
    <xf numFmtId="177" fontId="3" fillId="3" borderId="1" xfId="0" applyNumberFormat="1" applyFont="1" applyFill="1" applyBorder="1" applyAlignment="1">
      <alignment horizontal="left"/>
    </xf>
    <xf numFmtId="4" fontId="3" fillId="3" borderId="1" xfId="0" applyNumberFormat="1" applyFont="1" applyFill="1" applyBorder="1" applyAlignment="1">
      <alignment horizontal="left"/>
    </xf>
    <xf numFmtId="176" fontId="2" fillId="0" borderId="1" xfId="0" applyNumberFormat="1" applyFont="1" applyBorder="1" applyAlignment="1">
      <alignment horizontal="center"/>
    </xf>
    <xf numFmtId="177" fontId="2" fillId="0" borderId="1" xfId="0" applyNumberFormat="1" applyFont="1" applyFill="1" applyBorder="1" applyAlignment="1">
      <alignment horizontal="left"/>
    </xf>
    <xf numFmtId="4" fontId="2" fillId="0" borderId="1" xfId="0" applyNumberFormat="1" applyFon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wrapText="1"/>
    </xf>
    <xf numFmtId="0" fontId="2" fillId="4" borderId="1" xfId="0" applyFont="1" applyFill="1" applyBorder="1" applyAlignment="1"/>
    <xf numFmtId="179" fontId="3" fillId="3" borderId="1" xfId="0" applyNumberFormat="1" applyFont="1" applyFill="1" applyBorder="1" applyAlignment="1">
      <alignment horizontal="left"/>
    </xf>
    <xf numFmtId="1" fontId="2" fillId="0" borderId="1" xfId="0" applyNumberFormat="1" applyFont="1" applyFill="1" applyBorder="1" applyAlignment="1">
      <alignment horizontal="left"/>
    </xf>
    <xf numFmtId="179" fontId="2" fillId="0" borderId="1" xfId="0" applyNumberFormat="1" applyFont="1" applyFill="1" applyBorder="1" applyAlignment="1">
      <alignment horizontal="left"/>
    </xf>
    <xf numFmtId="1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/>
    <xf numFmtId="1" fontId="2" fillId="0" borderId="1" xfId="0" applyNumberFormat="1" applyFont="1" applyFill="1" applyBorder="1" applyAlignment="1">
      <alignment horizontal="right"/>
    </xf>
    <xf numFmtId="0" fontId="2" fillId="0" borderId="1" xfId="0" applyNumberFormat="1" applyFont="1" applyFill="1" applyBorder="1" applyAlignment="1"/>
    <xf numFmtId="177" fontId="2" fillId="4" borderId="2" xfId="0" applyNumberFormat="1" applyFont="1" applyFill="1" applyBorder="1" applyAlignment="1">
      <alignment horizontal="center"/>
    </xf>
    <xf numFmtId="177" fontId="2" fillId="4" borderId="3" xfId="0" applyNumberFormat="1" applyFont="1" applyFill="1" applyBorder="1" applyAlignment="1">
      <alignment horizontal="center"/>
    </xf>
    <xf numFmtId="177" fontId="2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5"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V11"/>
  <sheetViews>
    <sheetView tabSelected="1" topLeftCell="A2" zoomScaleSheetLayoutView="100" workbookViewId="0">
      <selection activeCell="B7" sqref="B7"/>
    </sheetView>
  </sheetViews>
  <sheetFormatPr defaultRowHeight="12.75"/>
  <cols>
    <col min="1" max="1" width="12" style="5" customWidth="1"/>
    <col min="2" max="2" width="15.5703125" style="6" customWidth="1"/>
    <col min="3" max="3" width="19.5703125" style="7" customWidth="1"/>
    <col min="4" max="4" width="14.7109375" style="7" customWidth="1"/>
    <col min="5" max="5" width="12.5703125" style="7" customWidth="1"/>
    <col min="6" max="7" width="9.140625" style="8" customWidth="1"/>
    <col min="8" max="10" width="9.140625" style="6" customWidth="1"/>
    <col min="11" max="11" width="13.85546875" style="6" customWidth="1"/>
    <col min="12" max="12" width="14.28515625" style="6" customWidth="1"/>
    <col min="13" max="13" width="14.42578125" style="6" customWidth="1"/>
    <col min="14" max="14" width="12.5703125" style="6" customWidth="1"/>
    <col min="15" max="15" width="9.140625" style="6" customWidth="1"/>
    <col min="16" max="16" width="19.42578125" style="6" customWidth="1"/>
    <col min="17" max="17" width="21" style="6" customWidth="1"/>
    <col min="18" max="18" width="9.140625" style="6" bestFit="1"/>
    <col min="19" max="16384" width="9.140625" style="6"/>
  </cols>
  <sheetData>
    <row r="1" spans="1:22" s="1" customFormat="1" ht="15" customHeight="1">
      <c r="A1" s="9" t="s">
        <v>0</v>
      </c>
      <c r="B1" s="10" t="s">
        <v>1</v>
      </c>
      <c r="C1" s="11" t="s">
        <v>2</v>
      </c>
      <c r="D1" s="34" t="s">
        <v>3</v>
      </c>
      <c r="E1" s="35"/>
      <c r="F1" s="35"/>
      <c r="G1" s="35"/>
      <c r="H1" s="35"/>
      <c r="I1" s="35"/>
      <c r="J1" s="3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</row>
    <row r="2" spans="1:22" s="2" customFormat="1">
      <c r="A2" s="12">
        <f ca="1">TODAY()</f>
        <v>42072</v>
      </c>
      <c r="B2" s="13">
        <f ca="1">NOW()</f>
        <v>42072.669015624997</v>
      </c>
      <c r="C2" s="11" t="s">
        <v>4</v>
      </c>
      <c r="D2" s="14" t="s">
        <v>5</v>
      </c>
      <c r="E2" s="15">
        <f>COUNTA(F5:F1000)</f>
        <v>0</v>
      </c>
      <c r="F2" s="16"/>
      <c r="G2" s="16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 s="3" customFormat="1">
      <c r="A3" s="17"/>
      <c r="B3" s="18"/>
      <c r="C3" s="19"/>
      <c r="D3" s="19"/>
      <c r="E3" s="19"/>
      <c r="F3" s="20"/>
      <c r="G3" s="20"/>
      <c r="H3" s="18"/>
      <c r="I3" s="18"/>
      <c r="J3" s="18"/>
      <c r="L3" s="18"/>
      <c r="N3" s="27"/>
      <c r="O3" s="18"/>
      <c r="R3" s="30"/>
      <c r="S3" s="31"/>
      <c r="T3" s="18"/>
      <c r="V3" s="18"/>
    </row>
    <row r="4" spans="1:22" s="4" customFormat="1">
      <c r="A4" s="21" t="s">
        <v>6</v>
      </c>
      <c r="B4" s="4" t="s">
        <v>7</v>
      </c>
      <c r="C4" s="22" t="s">
        <v>8</v>
      </c>
      <c r="D4" s="22" t="s">
        <v>9</v>
      </c>
      <c r="E4" s="22" t="s">
        <v>10</v>
      </c>
      <c r="F4" s="23" t="s">
        <v>11</v>
      </c>
      <c r="G4" s="23" t="s">
        <v>12</v>
      </c>
      <c r="H4" s="24" t="s">
        <v>13</v>
      </c>
      <c r="I4" s="24" t="s">
        <v>14</v>
      </c>
      <c r="J4" s="28" t="s">
        <v>15</v>
      </c>
      <c r="K4" s="28" t="s">
        <v>16</v>
      </c>
      <c r="L4" s="24" t="s">
        <v>17</v>
      </c>
      <c r="M4" s="24" t="s">
        <v>18</v>
      </c>
      <c r="N4" s="29" t="s">
        <v>19</v>
      </c>
      <c r="O4" s="24" t="s">
        <v>20</v>
      </c>
      <c r="P4" s="24" t="s">
        <v>21</v>
      </c>
      <c r="Q4" s="4" t="s">
        <v>22</v>
      </c>
      <c r="R4" s="32" t="s">
        <v>23</v>
      </c>
      <c r="S4" s="33" t="s">
        <v>24</v>
      </c>
      <c r="T4" s="4" t="s">
        <v>25</v>
      </c>
      <c r="U4" s="24" t="s">
        <v>26</v>
      </c>
      <c r="V4" s="24" t="s">
        <v>27</v>
      </c>
    </row>
    <row r="11" spans="1:22">
      <c r="B11" s="25"/>
    </row>
  </sheetData>
  <mergeCells count="1">
    <mergeCell ref="D1:J1"/>
  </mergeCells>
  <conditionalFormatting sqref="C1:C1048576">
    <cfRule type="cellIs" dxfId="4" priority="1" stopIfTrue="1" operator="lessThan">
      <formula>0</formula>
    </cfRule>
  </conditionalFormatting>
  <conditionalFormatting sqref="D1:D1048576">
    <cfRule type="cellIs" dxfId="3" priority="2" stopIfTrue="1" operator="lessThan">
      <formula>0</formula>
    </cfRule>
  </conditionalFormatting>
  <conditionalFormatting sqref="E1:E1048576">
    <cfRule type="cellIs" dxfId="2" priority="3" stopIfTrue="1" operator="lessThan">
      <formula>0</formula>
    </cfRule>
  </conditionalFormatting>
  <conditionalFormatting sqref="F1:F1048576">
    <cfRule type="cellIs" dxfId="1" priority="4" stopIfTrue="1" operator="lessThan">
      <formula>0</formula>
    </cfRule>
  </conditionalFormatting>
  <conditionalFormatting sqref="G1:G1048576">
    <cfRule type="cellIs" dxfId="0" priority="5" stopIfTrue="1" operator="lessThan">
      <formula>0</formula>
    </cfRule>
  </conditionalFormatting>
  <pageMargins left="0.70833333333333337" right="0.70833333333333337" top="0.74791666666666667" bottom="0.74791666666666667" header="0.31458333333333333" footer="0.31458333333333333"/>
  <pageSetup paperSize="9" orientation="landscape" horizontalDpi="0" verticalDpi="0"/>
  <headerFooter alignWithMargins="0"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revision/>
  <dcterms:created xsi:type="dcterms:W3CDTF">2015-03-09T01:16:11Z</dcterms:created>
  <dcterms:modified xsi:type="dcterms:W3CDTF">2015-03-09T10:33:37Z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1033-9.1.0.4246</vt:lpwstr>
  </property>
</Properties>
</file>